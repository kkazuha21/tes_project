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SharedLab\SharedLab_Test_Submission\"/>
    </mc:Choice>
  </mc:AlternateContent>
  <xr:revisionPtr revIDLastSave="0" documentId="8_{21F01B27-5917-4B12-85D5-E644C22F43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1" l="1"/>
  <c r="T6" i="1"/>
  <c r="S6" i="1"/>
  <c r="P6" i="1"/>
  <c r="Q6" i="1" s="1"/>
  <c r="V5" i="1"/>
  <c r="T5" i="1"/>
  <c r="S5" i="1"/>
  <c r="P5" i="1"/>
  <c r="Q5" i="1" s="1"/>
  <c r="V4" i="1"/>
  <c r="T4" i="1"/>
  <c r="S4" i="1"/>
  <c r="P4" i="1"/>
  <c r="Q4" i="1" s="1"/>
  <c r="V3" i="1"/>
  <c r="T3" i="1"/>
  <c r="S3" i="1"/>
  <c r="P3" i="1"/>
  <c r="Q3" i="1" s="1"/>
  <c r="X6" i="1" l="1"/>
  <c r="X4" i="1"/>
  <c r="X3" i="1"/>
  <c r="X5" i="1"/>
</calcChain>
</file>

<file path=xl/sharedStrings.xml><?xml version="1.0" encoding="utf-8"?>
<sst xmlns="http://schemas.openxmlformats.org/spreadsheetml/2006/main" count="33" uniqueCount="32">
  <si>
    <t>组长</t>
  </si>
  <si>
    <t>组员</t>
  </si>
  <si>
    <r>
      <rPr>
        <sz val="11"/>
        <rFont val="宋体"/>
        <charset val="134"/>
        <scheme val="minor"/>
      </rPr>
      <t>贡献度
（</t>
    </r>
    <r>
      <rPr>
        <sz val="11"/>
        <color rgb="FFFF0000"/>
        <rFont val="宋体"/>
        <charset val="134"/>
        <scheme val="minor"/>
      </rPr>
      <t>小组平均为1</t>
    </r>
    <r>
      <rPr>
        <sz val="11"/>
        <rFont val="宋体"/>
        <charset val="134"/>
        <scheme val="minor"/>
      </rPr>
      <t>）</t>
    </r>
  </si>
  <si>
    <t>测试文档质量</t>
  </si>
  <si>
    <t>测试文档分数
（40分）</t>
  </si>
  <si>
    <t>用例执行完成否</t>
  </si>
  <si>
    <t>测试类型</t>
  </si>
  <si>
    <t>用例数量</t>
  </si>
  <si>
    <t>用例数量得分(15分）</t>
  </si>
  <si>
    <t>测试用例质量等级</t>
  </si>
  <si>
    <t>测试用例质量(15分）</t>
  </si>
  <si>
    <t>测试类型数量（20分）</t>
  </si>
  <si>
    <t>问题回答等级</t>
  </si>
  <si>
    <t>问题回答（10分）</t>
  </si>
  <si>
    <t>备注</t>
  </si>
  <si>
    <t>期末大作业最终得分</t>
  </si>
  <si>
    <t>测试计划（14分）</t>
  </si>
  <si>
    <t>测试说明（13分）</t>
  </si>
  <si>
    <t>测试报告（13分）</t>
  </si>
  <si>
    <t>功能用例数量</t>
  </si>
  <si>
    <t>性能用例数量</t>
  </si>
  <si>
    <t>接口用例数量</t>
  </si>
  <si>
    <t>安全用例数量</t>
  </si>
  <si>
    <t>自动化功能例数量</t>
  </si>
  <si>
    <t>单元用例数量</t>
  </si>
  <si>
    <t>兼容性用例数量</t>
  </si>
  <si>
    <t>黄色区域为组长填写区域，其余部分由老师填写</t>
  </si>
  <si>
    <t>淡紫色区域空着，由老师填写</t>
  </si>
  <si>
    <t>肖正炀</t>
    <phoneticPr fontId="6" type="noConversion"/>
  </si>
  <si>
    <t>罗志豪</t>
    <phoneticPr fontId="6" type="noConversion"/>
  </si>
  <si>
    <t>朱云龙</t>
    <phoneticPr fontId="6" type="noConversion"/>
  </si>
  <si>
    <t>李俊宏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</si>
</sst>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);[Red]\(0.00\)"/>
    <numFmt numFmtId="179" formatCode="0_);[Red]\(0\)"/>
  </numFmts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rgb="FFFAC5FB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B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3" borderId="5" xfId="0" applyFont="1" applyFill="1" applyBorder="1" applyAlignment="1">
      <alignment horizontal="left" vertical="top" wrapText="1"/>
    </xf>
    <xf numFmtId="178" fontId="2" fillId="6" borderId="5" xfId="0" applyNumberFormat="1" applyFont="1" applyFill="1" applyBorder="1" applyAlignment="1">
      <alignment horizontal="left" vertical="center" wrapText="1"/>
    </xf>
    <xf numFmtId="49" fontId="2" fillId="7" borderId="5" xfId="0" applyNumberFormat="1" applyFont="1" applyFill="1" applyBorder="1" applyAlignment="1">
      <alignment horizontal="left" vertical="center"/>
    </xf>
    <xf numFmtId="178" fontId="2" fillId="8" borderId="5" xfId="0" applyNumberFormat="1" applyFont="1" applyFill="1" applyBorder="1" applyAlignment="1">
      <alignment horizontal="left" vertical="center"/>
    </xf>
    <xf numFmtId="49" fontId="2" fillId="9" borderId="5" xfId="0" applyNumberFormat="1" applyFont="1" applyFill="1" applyBorder="1" applyAlignment="1">
      <alignment horizontal="left" vertical="center"/>
    </xf>
    <xf numFmtId="0" fontId="2" fillId="6" borderId="5" xfId="0" applyFont="1" applyFill="1" applyBorder="1">
      <alignment vertical="center"/>
    </xf>
    <xf numFmtId="178" fontId="2" fillId="6" borderId="5" xfId="0" applyNumberFormat="1" applyFont="1" applyFill="1" applyBorder="1" applyAlignment="1">
      <alignment horizontal="left" vertical="center"/>
    </xf>
    <xf numFmtId="179" fontId="2" fillId="6" borderId="5" xfId="0" applyNumberFormat="1" applyFont="1" applyFill="1" applyBorder="1" applyAlignment="1">
      <alignment horizontal="left" vertical="center"/>
    </xf>
    <xf numFmtId="49" fontId="2" fillId="7" borderId="5" xfId="0" applyNumberFormat="1" applyFont="1" applyFill="1" applyBorder="1" applyAlignment="1">
      <alignment horizontal="center" vertical="center"/>
    </xf>
    <xf numFmtId="0" fontId="3" fillId="10" borderId="0" xfId="0" applyFont="1" applyFill="1">
      <alignment vertical="center"/>
    </xf>
    <xf numFmtId="0" fontId="4" fillId="11" borderId="5" xfId="0" applyFont="1" applyFill="1" applyBorder="1" applyAlignment="1">
      <alignment horizontal="left" vertical="top" wrapText="1"/>
    </xf>
    <xf numFmtId="179" fontId="2" fillId="8" borderId="5" xfId="0" applyNumberFormat="1" applyFont="1" applyFill="1" applyBorder="1" applyAlignment="1">
      <alignment horizontal="left" vertical="center"/>
    </xf>
    <xf numFmtId="0" fontId="0" fillId="10" borderId="0" xfId="0" applyFill="1">
      <alignment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/>
    </xf>
    <xf numFmtId="0" fontId="0" fillId="10" borderId="5" xfId="0" applyFill="1" applyBorder="1">
      <alignment vertical="center"/>
    </xf>
    <xf numFmtId="178" fontId="0" fillId="13" borderId="5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8" fontId="0" fillId="4" borderId="3" xfId="0" applyNumberFormat="1" applyFill="1" applyBorder="1" applyAlignment="1">
      <alignment horizontal="center" vertical="center" wrapText="1"/>
    </xf>
    <xf numFmtId="178" fontId="0" fillId="4" borderId="6" xfId="0" applyNumberForma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top" wrapText="1"/>
    </xf>
    <xf numFmtId="0" fontId="0" fillId="8" borderId="5" xfId="0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178" fontId="0" fillId="12" borderId="3" xfId="0" applyNumberFormat="1" applyFill="1" applyBorder="1" applyAlignment="1">
      <alignment horizontal="center" vertical="center" wrapText="1"/>
    </xf>
    <xf numFmtId="178" fontId="0" fillId="12" borderId="6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B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zoomScale="160" zoomScaleNormal="160" workbookViewId="0">
      <selection activeCell="O8" sqref="O8"/>
    </sheetView>
  </sheetViews>
  <sheetFormatPr defaultColWidth="8.875" defaultRowHeight="13.5" x14ac:dyDescent="0.15"/>
  <cols>
    <col min="1" max="1" width="5.625" customWidth="1"/>
    <col min="2" max="2" width="6.125" customWidth="1"/>
    <col min="3" max="3" width="8.125" customWidth="1"/>
    <col min="4" max="4" width="4.875" customWidth="1"/>
    <col min="5" max="5" width="5.875" customWidth="1"/>
    <col min="6" max="6" width="5.5" customWidth="1"/>
    <col min="9" max="15" width="4.875" customWidth="1"/>
    <col min="16" max="16" width="4.375" customWidth="1"/>
    <col min="17" max="17" width="5.125" customWidth="1"/>
    <col min="18" max="18" width="5.5" customWidth="1"/>
    <col min="19" max="19" width="5.875" customWidth="1"/>
    <col min="20" max="20" width="6" customWidth="1"/>
    <col min="21" max="21" width="5.5" customWidth="1"/>
    <col min="22" max="22" width="5.875" customWidth="1"/>
    <col min="23" max="23" width="5.5" customWidth="1"/>
  </cols>
  <sheetData>
    <row r="1" spans="1:24" x14ac:dyDescent="0.15">
      <c r="A1" s="24" t="s">
        <v>0</v>
      </c>
      <c r="B1" s="24" t="s">
        <v>1</v>
      </c>
      <c r="C1" s="26" t="s">
        <v>2</v>
      </c>
      <c r="D1" s="18" t="s">
        <v>3</v>
      </c>
      <c r="E1" s="19"/>
      <c r="F1" s="19"/>
      <c r="G1" s="27" t="s">
        <v>4</v>
      </c>
      <c r="H1" s="29" t="s">
        <v>5</v>
      </c>
      <c r="I1" s="20" t="s">
        <v>6</v>
      </c>
      <c r="J1" s="21"/>
      <c r="K1" s="21"/>
      <c r="L1" s="21"/>
      <c r="M1" s="21"/>
      <c r="N1" s="21"/>
      <c r="O1" s="22"/>
      <c r="P1" s="31" t="s">
        <v>7</v>
      </c>
      <c r="Q1" s="27" t="s">
        <v>8</v>
      </c>
      <c r="R1" s="32" t="s">
        <v>9</v>
      </c>
      <c r="S1" s="27" t="s">
        <v>10</v>
      </c>
      <c r="T1" s="27" t="s">
        <v>11</v>
      </c>
      <c r="U1" s="34" t="s">
        <v>12</v>
      </c>
      <c r="V1" s="27" t="s">
        <v>13</v>
      </c>
      <c r="W1" s="36" t="s">
        <v>14</v>
      </c>
      <c r="X1" s="37" t="s">
        <v>15</v>
      </c>
    </row>
    <row r="2" spans="1:24" ht="84" customHeight="1" x14ac:dyDescent="0.15">
      <c r="A2" s="25"/>
      <c r="B2" s="25"/>
      <c r="C2" s="25"/>
      <c r="D2" s="1" t="s">
        <v>16</v>
      </c>
      <c r="E2" s="1" t="s">
        <v>17</v>
      </c>
      <c r="F2" s="1" t="s">
        <v>18</v>
      </c>
      <c r="G2" s="28"/>
      <c r="H2" s="30"/>
      <c r="I2" s="11" t="s">
        <v>19</v>
      </c>
      <c r="J2" s="11" t="s">
        <v>20</v>
      </c>
      <c r="K2" s="11" t="s">
        <v>21</v>
      </c>
      <c r="L2" s="11" t="s">
        <v>22</v>
      </c>
      <c r="M2" s="11" t="s">
        <v>23</v>
      </c>
      <c r="N2" s="11" t="s">
        <v>24</v>
      </c>
      <c r="O2" s="11" t="s">
        <v>25</v>
      </c>
      <c r="P2" s="31"/>
      <c r="Q2" s="28"/>
      <c r="R2" s="33"/>
      <c r="S2" s="28"/>
      <c r="T2" s="28"/>
      <c r="U2" s="35"/>
      <c r="V2" s="28"/>
      <c r="W2" s="36"/>
      <c r="X2" s="37"/>
    </row>
    <row r="3" spans="1:24" x14ac:dyDescent="0.15">
      <c r="A3" s="38" t="s">
        <v>28</v>
      </c>
      <c r="B3" s="38" t="s">
        <v>28</v>
      </c>
      <c r="C3" s="2">
        <v>1</v>
      </c>
      <c r="D3" s="3"/>
      <c r="E3" s="3"/>
      <c r="F3" s="3"/>
      <c r="G3" s="4"/>
      <c r="H3" s="5"/>
      <c r="I3" s="8">
        <v>11</v>
      </c>
      <c r="J3" s="8">
        <v>3</v>
      </c>
      <c r="K3" s="8">
        <v>3</v>
      </c>
      <c r="L3" s="8">
        <v>4</v>
      </c>
      <c r="M3" s="8">
        <v>6</v>
      </c>
      <c r="N3" s="8">
        <v>1</v>
      </c>
      <c r="O3" s="8">
        <v>2</v>
      </c>
      <c r="P3" s="12">
        <f t="shared" ref="P3:P6" si="0">I3+J3+K3+L3+M3+N3+O3</f>
        <v>30</v>
      </c>
      <c r="Q3" s="14">
        <f>IF(P3&gt;=30,15,IF(P3&gt;=25,13,IF(P3&gt;=20,11,IF(P3&gt;=16,9,IF(P3&gt;=8,7,5)))))</f>
        <v>15</v>
      </c>
      <c r="R3" s="3"/>
      <c r="S3" s="15">
        <f>IF(R3="优秀",15,IF(R3="中上",13,IF(R3="中等",11,IF(R3="中下",9,7))))</f>
        <v>7</v>
      </c>
      <c r="T3" s="15">
        <f t="shared" ref="T3:T6" si="1">IF((IF(VALUE(I3)&gt;0,1,0)+IF(VALUE(J3)&gt;0,1,0)+IF(VALUE(K3)&gt;0,1,0)+IF(VALUE(L3)&gt;0,1,0)+IF(VALUE(M3)&gt;0,1,0)+IF(VALUE(N3)&gt;0,1,0)+IF(VALUE(O3)&gt;0,1,0))*3&gt;20,20,(IF(VALUE(I3)&gt;0,1,0)+IF(VALUE(J3)&gt;0,1,0)+IF(VALUE(K3)&gt;0,1,0)+IF(VALUE(L3)&gt;0,1,0)+IF(VALUE(M3)&gt;0,1,0)+IF(VALUE(N3)&gt;0,1,0)+IF(VALUE(O3)&gt;0,1,0))*3)</f>
        <v>20</v>
      </c>
      <c r="U3" s="3"/>
      <c r="V3" s="15">
        <f>IF(U3="优秀",10,IF(U3="中上",8,IF(U3="中等",6,IF(U3="中下",5,4))))</f>
        <v>4</v>
      </c>
      <c r="W3" s="16"/>
      <c r="X3" s="17">
        <f>C3*G3+Q3+S3+T3+V3</f>
        <v>46</v>
      </c>
    </row>
    <row r="4" spans="1:24" x14ac:dyDescent="0.15">
      <c r="A4" s="6"/>
      <c r="B4" s="38" t="s">
        <v>29</v>
      </c>
      <c r="C4" s="7">
        <v>1</v>
      </c>
      <c r="D4" s="3"/>
      <c r="E4" s="3"/>
      <c r="F4" s="3"/>
      <c r="G4" s="4"/>
      <c r="H4" s="5"/>
      <c r="I4" s="8">
        <v>9</v>
      </c>
      <c r="J4" s="8">
        <v>3</v>
      </c>
      <c r="K4" s="8">
        <v>6</v>
      </c>
      <c r="L4" s="8">
        <v>3</v>
      </c>
      <c r="M4" s="8">
        <v>6</v>
      </c>
      <c r="N4" s="8">
        <v>1</v>
      </c>
      <c r="O4" s="8">
        <v>2</v>
      </c>
      <c r="P4" s="12">
        <f t="shared" si="0"/>
        <v>30</v>
      </c>
      <c r="Q4" s="14">
        <f t="shared" ref="Q4:Q6" si="2">IF(P4&gt;=30,15,IF(P4&gt;=25,13,IF(P4&gt;=20,11,IF(P4&gt;=16,9,IF(P4&gt;=8,7,5)))))</f>
        <v>15</v>
      </c>
      <c r="R4" s="3"/>
      <c r="S4" s="15">
        <f t="shared" ref="S4:S6" si="3">IF(R4="优秀",15,IF(R4="中上",13,IF(R4="中等",11,IF(R4="中下",9,7))))</f>
        <v>7</v>
      </c>
      <c r="T4" s="15">
        <f t="shared" si="1"/>
        <v>20</v>
      </c>
      <c r="U4" s="3"/>
      <c r="V4" s="15">
        <f t="shared" ref="V4:V6" si="4">IF(U4="优秀",10,IF(U4="中上",8,IF(U4="中等",6,IF(U4="中下",5,4))))</f>
        <v>4</v>
      </c>
      <c r="W4" s="16"/>
      <c r="X4" s="17">
        <f t="shared" ref="X4:X6" si="5">C4*G4+Q4+S4+T4+V4</f>
        <v>46</v>
      </c>
    </row>
    <row r="5" spans="1:24" x14ac:dyDescent="0.15">
      <c r="A5" s="6"/>
      <c r="B5" s="38" t="s">
        <v>30</v>
      </c>
      <c r="C5" s="7">
        <v>1</v>
      </c>
      <c r="D5" s="3"/>
      <c r="E5" s="3"/>
      <c r="F5" s="3"/>
      <c r="G5" s="4"/>
      <c r="H5" s="5"/>
      <c r="I5" s="8">
        <v>9</v>
      </c>
      <c r="J5" s="8">
        <v>3</v>
      </c>
      <c r="K5" s="8">
        <v>4</v>
      </c>
      <c r="L5" s="8">
        <v>0</v>
      </c>
      <c r="M5" s="8">
        <v>7</v>
      </c>
      <c r="N5" s="8">
        <v>2</v>
      </c>
      <c r="O5" s="8">
        <v>3</v>
      </c>
      <c r="P5" s="12">
        <f t="shared" si="0"/>
        <v>28</v>
      </c>
      <c r="Q5" s="14">
        <f t="shared" si="2"/>
        <v>13</v>
      </c>
      <c r="R5" s="3"/>
      <c r="S5" s="15">
        <f t="shared" si="3"/>
        <v>7</v>
      </c>
      <c r="T5" s="15">
        <f t="shared" si="1"/>
        <v>18</v>
      </c>
      <c r="U5" s="3"/>
      <c r="V5" s="15">
        <f t="shared" si="4"/>
        <v>4</v>
      </c>
      <c r="W5" s="16"/>
      <c r="X5" s="17">
        <f t="shared" si="5"/>
        <v>42</v>
      </c>
    </row>
    <row r="6" spans="1:24" x14ac:dyDescent="0.15">
      <c r="A6" s="6"/>
      <c r="B6" s="38" t="s">
        <v>31</v>
      </c>
      <c r="C6" s="7">
        <v>1</v>
      </c>
      <c r="D6" s="3"/>
      <c r="E6" s="3"/>
      <c r="F6" s="3"/>
      <c r="G6" s="4"/>
      <c r="H6" s="5"/>
      <c r="I6" s="8">
        <v>10</v>
      </c>
      <c r="J6" s="8">
        <v>3</v>
      </c>
      <c r="K6" s="8">
        <v>3</v>
      </c>
      <c r="L6" s="8">
        <v>0</v>
      </c>
      <c r="M6" s="8">
        <v>8</v>
      </c>
      <c r="N6" s="8">
        <v>0</v>
      </c>
      <c r="O6" s="8">
        <v>2</v>
      </c>
      <c r="P6" s="12">
        <f t="shared" si="0"/>
        <v>26</v>
      </c>
      <c r="Q6" s="14">
        <f t="shared" si="2"/>
        <v>13</v>
      </c>
      <c r="R6" s="3"/>
      <c r="S6" s="15">
        <f t="shared" si="3"/>
        <v>7</v>
      </c>
      <c r="T6" s="15">
        <f t="shared" si="1"/>
        <v>15</v>
      </c>
      <c r="U6" s="3"/>
      <c r="V6" s="15">
        <f t="shared" si="4"/>
        <v>4</v>
      </c>
      <c r="W6" s="16"/>
      <c r="X6" s="17">
        <f t="shared" si="5"/>
        <v>39</v>
      </c>
    </row>
    <row r="11" spans="1:24" x14ac:dyDescent="0.15">
      <c r="G11" s="8"/>
      <c r="H11" s="23" t="s">
        <v>26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4" x14ac:dyDescent="0.15">
      <c r="G12" s="9"/>
      <c r="H12" s="10" t="s">
        <v>27</v>
      </c>
      <c r="I12" s="1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17">
    <mergeCell ref="W1:W2"/>
    <mergeCell ref="X1:X2"/>
    <mergeCell ref="D1:F1"/>
    <mergeCell ref="I1:O1"/>
    <mergeCell ref="H11:V11"/>
    <mergeCell ref="A1:A2"/>
    <mergeCell ref="B1:B2"/>
    <mergeCell ref="C1:C2"/>
    <mergeCell ref="G1:G2"/>
    <mergeCell ref="H1:H2"/>
    <mergeCell ref="P1:P2"/>
    <mergeCell ref="Q1:Q2"/>
    <mergeCell ref="R1:R2"/>
    <mergeCell ref="S1:S2"/>
    <mergeCell ref="T1:T2"/>
    <mergeCell ref="U1:U2"/>
    <mergeCell ref="V1:V2"/>
  </mergeCells>
  <phoneticPr fontId="6" type="noConversion"/>
  <conditionalFormatting sqref="B1:C1 B2">
    <cfRule type="duplicateValues" dxfId="2" priority="3"/>
    <cfRule type="duplicateValues" dxfId="1" priority="5"/>
  </conditionalFormatting>
  <conditionalFormatting sqref="X1:X6">
    <cfRule type="cellIs" dxfId="0" priority="4" operator="greaterThan">
      <formula>98</formula>
    </cfRule>
  </conditionalFormatting>
  <dataValidations count="2">
    <dataValidation type="list" allowBlank="1" showInputMessage="1" showErrorMessage="1" sqref="H3:H6" xr:uid="{00000000-0002-0000-0000-000000000000}">
      <formula1>"是,否"</formula1>
    </dataValidation>
    <dataValidation type="list" allowBlank="1" showInputMessage="1" showErrorMessage="1" sqref="R3:R6 U3:U6 D3:F6" xr:uid="{00000000-0002-0000-0000-000001000000}">
      <formula1>"差,中下,中等,中上,优秀"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zy xiao</cp:lastModifiedBy>
  <dcterms:created xsi:type="dcterms:W3CDTF">2023-06-11T14:00:00Z</dcterms:created>
  <dcterms:modified xsi:type="dcterms:W3CDTF">2026-01-08T09:35:11Z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002C777625094CCA84BF6B78A7291F28_13</vt:lpwstr>
  </property>
  <property fmtid="{D5CDD505-2E9C-101B-9397-08002B2CF9AE}" pid="3" name="KSOProductBuildVer">
    <vt:lpwstr>2052-12.1.0.21915</vt:lpwstr>
  </property>
</Properties>
</file>